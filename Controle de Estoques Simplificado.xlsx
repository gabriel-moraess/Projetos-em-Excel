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\OneDrive\Área de Trabalho\Cursos\Excel Completo do Básico ao Avançado\Projeto\"/>
    </mc:Choice>
  </mc:AlternateContent>
  <xr:revisionPtr revIDLastSave="0" documentId="13_ncr:1_{6A394485-52F8-4047-BF07-1B6CA8A42965}" xr6:coauthVersionLast="47" xr6:coauthVersionMax="47" xr10:uidLastSave="{00000000-0000-0000-0000-000000000000}"/>
  <bookViews>
    <workbookView xWindow="-120" yWindow="-120" windowWidth="29040" windowHeight="15720" xr2:uid="{A6191A25-25CD-4230-9971-4A9DD9244C29}"/>
  </bookViews>
  <sheets>
    <sheet name="Início" sheetId="1" r:id="rId1"/>
    <sheet name="Cadastro" sheetId="2" r:id="rId2"/>
    <sheet name="Lançamento" sheetId="3" r:id="rId3"/>
  </sheets>
  <definedNames>
    <definedName name="ColunaProdutos">TbCadastro[PRODUTO]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3" l="1"/>
  <c r="E8" i="3"/>
  <c r="E5" i="3"/>
  <c r="E4" i="3"/>
  <c r="E6" i="3"/>
  <c r="E7" i="3"/>
  <c r="E5" i="2"/>
  <c r="F5" i="2" s="1"/>
  <c r="E4" i="2"/>
  <c r="F4" i="2" s="1"/>
  <c r="E6" i="2"/>
  <c r="F6" i="2" s="1"/>
  <c r="D10" i="3"/>
  <c r="C10" i="3"/>
  <c r="B10" i="3"/>
  <c r="E10" i="3" l="1"/>
</calcChain>
</file>

<file path=xl/sharedStrings.xml><?xml version="1.0" encoding="utf-8"?>
<sst xmlns="http://schemas.openxmlformats.org/spreadsheetml/2006/main" count="24" uniqueCount="14">
  <si>
    <t>PRODUTO</t>
  </si>
  <si>
    <t>MEDIDA</t>
  </si>
  <si>
    <t>ESTOQUE
MÍNIMO</t>
  </si>
  <si>
    <t>ESTOQUE MÁXIMO</t>
  </si>
  <si>
    <t>SALDO</t>
  </si>
  <si>
    <t>AVISOS</t>
  </si>
  <si>
    <t>Caneta esferográfica azul</t>
  </si>
  <si>
    <t>Caneta esferográfica preta</t>
  </si>
  <si>
    <t>DATA</t>
  </si>
  <si>
    <t>ENTRADA</t>
  </si>
  <si>
    <t>SAÍDA</t>
  </si>
  <si>
    <t>Total</t>
  </si>
  <si>
    <t xml:space="preserve">Unidade </t>
  </si>
  <si>
    <t>Caneta esferográfica vermelha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</si>
</sst>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2" fillId="0" borderId="0" xfId="0" applyFont="1"/>
    <xf numFmtId="0" fontId="4" fillId="0" borderId="0" xfId="0" applyFont="1" applyAlignment="1">
      <alignment vertical="top"/>
    </xf>
    <xf numFmtId="14" fontId="0" fillId="0" borderId="0" xfId="0" applyNumberFormat="1"/>
    <xf numFmtId="0" fontId="0" fillId="3" borderId="0" xfId="0" applyFill="1"/>
    <xf numFmtId="0" fontId="4" fillId="3" borderId="0" xfId="0" applyFont="1" applyFill="1"/>
    <xf numFmtId="14" fontId="0" fillId="2" borderId="0" xfId="0" applyNumberFormat="1" applyFill="1"/>
    <xf numFmtId="14" fontId="4" fillId="3" borderId="0" xfId="0" applyNumberFormat="1" applyFont="1" applyFill="1"/>
    <xf numFmtId="1" fontId="0" fillId="2" borderId="0" xfId="0" applyNumberFormat="1" applyFill="1"/>
    <xf numFmtId="1" fontId="0" fillId="0" borderId="0" xfId="0" applyNumberFormat="1"/>
    <xf numFmtId="1" fontId="4" fillId="3" borderId="0" xfId="0" applyNumberFormat="1" applyFont="1" applyFill="1"/>
    <xf numFmtId="1" fontId="0" fillId="3" borderId="0" xfId="0" applyNumberFormat="1" applyFill="1"/>
    <xf numFmtId="1" fontId="4" fillId="0" borderId="0" xfId="0" applyNumberFormat="1" applyFont="1" applyAlignment="1">
      <alignment vertical="top" wrapText="1"/>
    </xf>
    <xf numFmtId="1" fontId="4" fillId="0" borderId="0" xfId="0" applyNumberFormat="1" applyFont="1" applyAlignment="1">
      <alignment vertical="top"/>
    </xf>
    <xf numFmtId="1" fontId="1" fillId="3" borderId="0" xfId="0" applyNumberFormat="1" applyFont="1" applyFill="1"/>
    <xf numFmtId="1" fontId="5" fillId="3" borderId="0" xfId="0" applyNumberFormat="1" applyFont="1" applyFill="1"/>
    <xf numFmtId="1" fontId="3" fillId="3" borderId="0" xfId="0" applyNumberFormat="1" applyFont="1" applyFill="1"/>
  </cellXfs>
  <cellStyles count="1">
    <cellStyle name="Normal" xfId="0" builtinId="0"/>
  </cellStyles>
  <dxfs count="17">
    <dxf>
      <font>
        <b/>
        <i val="0"/>
        <color rgb="FFFF0000"/>
      </font>
    </dxf>
    <dxf>
      <font>
        <b/>
        <i val="0"/>
        <color theme="7" tint="0.39994506668294322"/>
      </font>
      <fill>
        <patternFill>
          <bgColor theme="1" tint="0.2499465926084170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2" tint="-0.249977111117893"/>
        </patternFill>
      </fill>
    </dxf>
    <dxf>
      <font>
        <strike val="0"/>
        <outline val="0"/>
        <shadow val="0"/>
        <u val="none"/>
        <vertAlign val="baseline"/>
        <sz val="11"/>
        <color theme="2" tint="-0.249977111117893"/>
        <name val="Calibri"/>
        <family val="2"/>
        <scheme val="minor"/>
      </font>
      <numFmt numFmtId="1" formatCode="0"/>
      <fill>
        <patternFill patternType="solid">
          <fgColor indexed="64"/>
          <bgColor theme="2" tint="-0.249977111117893"/>
        </patternFill>
      </fill>
    </dxf>
    <dxf>
      <numFmt numFmtId="1" formatCode="0"/>
    </dxf>
    <dxf>
      <numFmt numFmtId="1" formatCode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7" tint="0.39994506668294322"/>
      </font>
      <fill>
        <patternFill>
          <bgColor theme="1" tint="0.24994659260841701"/>
        </patternFill>
      </fill>
    </dxf>
    <dxf>
      <fill>
        <patternFill patternType="solid">
          <fgColor indexed="64"/>
          <bgColor theme="2" tint="-0.249977111117893"/>
        </patternFill>
      </fill>
    </dxf>
    <dxf>
      <numFmt numFmtId="1" formatCode="0"/>
      <fill>
        <patternFill patternType="solid">
          <fgColor indexed="64"/>
          <bgColor theme="2" tint="-0.249977111117893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Cadastro!$E$3</c:f>
              <c:strCache>
                <c:ptCount val="1"/>
                <c:pt idx="0">
                  <c:v>SALDO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24-4DD1-B7C1-5116FA06A7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24-4DD1-B7C1-5116FA06A7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Cadastro!$A$4:$A$7</c:f>
              <c:strCache>
                <c:ptCount val="2"/>
                <c:pt idx="0">
                  <c:v>Caneta esferográfica azul</c:v>
                </c:pt>
                <c:pt idx="1">
                  <c:v>Caneta esferográfica preta</c:v>
                </c:pt>
              </c:strCache>
            </c:strRef>
          </c:cat>
          <c:val>
            <c:numRef>
              <c:f>Cadastro!$E$4:$E$7</c:f>
              <c:numCache>
                <c:formatCode>0</c:formatCode>
                <c:ptCount val="3"/>
                <c:pt idx="0">
                  <c:v>10</c:v>
                </c:pt>
                <c:pt idx="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54-4C5D-851B-AD205B7C00C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4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Lan&#231;amento!G1"/><Relationship Id="rId1" Type="http://schemas.openxmlformats.org/officeDocument/2006/relationships/hyperlink" Target="#Cadastro!G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Lan&#231;amento!G1"/><Relationship Id="rId2" Type="http://schemas.openxmlformats.org/officeDocument/2006/relationships/hyperlink" Target="#Cadastro!G1"/><Relationship Id="rId1" Type="http://schemas.openxmlformats.org/officeDocument/2006/relationships/hyperlink" Target="#In&#237;cio!G1"/><Relationship Id="rId4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Cadastro!G1"/><Relationship Id="rId1" Type="http://schemas.openxmlformats.org/officeDocument/2006/relationships/hyperlink" Target="#In&#237;cio!G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114301</xdr:colOff>
      <xdr:row>0</xdr:row>
      <xdr:rowOff>28575</xdr:rowOff>
    </xdr:from>
    <xdr:to>
      <xdr:col>0</xdr:col>
      <xdr:colOff>2019301</xdr:colOff>
      <xdr:row>1</xdr:row>
      <xdr:rowOff>0</xdr:rowOff>
    </xdr:to>
    <xdr:sp macro="" textlink="">
      <xdr:nvSpPr>
        <xdr:cNvPr id="2" name="Retângulo: Cantos Superiores Recortados 1">
          <a:extLst>
            <a:ext uri="{FF2B5EF4-FFF2-40B4-BE49-F238E27FC236}">
              <a16:creationId xmlns:a16="http://schemas.microsoft.com/office/drawing/2014/main" id="{4B23125E-F030-355F-D56B-5DBA506CAFF3}"/>
            </a:ext>
          </a:extLst>
        </xdr:cNvPr>
        <xdr:cNvSpPr/>
      </xdr:nvSpPr>
      <xdr:spPr>
        <a:xfrm>
          <a:off x="114301" y="28575"/>
          <a:ext cx="1905000" cy="476250"/>
        </a:xfrm>
        <a:prstGeom prst="snip2Same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Início</a:t>
          </a:r>
        </a:p>
      </xdr:txBody>
    </xdr:sp>
    <xdr:clientData/>
  </xdr:twoCellAnchor>
  <xdr:twoCellAnchor>
    <xdr:from>
      <xdr:col>0</xdr:col>
      <xdr:colOff>2043113</xdr:colOff>
      <xdr:row>0</xdr:row>
      <xdr:rowOff>28575</xdr:rowOff>
    </xdr:from>
    <xdr:to>
      <xdr:col>2</xdr:col>
      <xdr:colOff>185738</xdr:colOff>
      <xdr:row>1</xdr:row>
      <xdr:rowOff>0</xdr:rowOff>
    </xdr:to>
    <xdr:sp macro="" textlink="">
      <xdr:nvSpPr>
        <xdr:cNvPr id="3" name="Retângulo: Cantos Superiores Recort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2D7B05-EAB5-403D-9757-2300CFECDCCC}"/>
            </a:ext>
          </a:extLst>
        </xdr:cNvPr>
        <xdr:cNvSpPr/>
      </xdr:nvSpPr>
      <xdr:spPr>
        <a:xfrm>
          <a:off x="2043113" y="28575"/>
          <a:ext cx="1905000" cy="476250"/>
        </a:xfrm>
        <a:prstGeom prst="snip2Same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Cadastro</a:t>
          </a:r>
        </a:p>
      </xdr:txBody>
    </xdr:sp>
    <xdr:clientData/>
  </xdr:twoCellAnchor>
  <xdr:twoCellAnchor>
    <xdr:from>
      <xdr:col>2</xdr:col>
      <xdr:colOff>209550</xdr:colOff>
      <xdr:row>0</xdr:row>
      <xdr:rowOff>28575</xdr:rowOff>
    </xdr:from>
    <xdr:to>
      <xdr:col>4</xdr:col>
      <xdr:colOff>19050</xdr:colOff>
      <xdr:row>1</xdr:row>
      <xdr:rowOff>0</xdr:rowOff>
    </xdr:to>
    <xdr:sp macro="" textlink="">
      <xdr:nvSpPr>
        <xdr:cNvPr id="4" name="Retângulo: Cantos Superiores Recort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E6BFDC-637E-4677-952C-25FB58684D95}"/>
            </a:ext>
          </a:extLst>
        </xdr:cNvPr>
        <xdr:cNvSpPr/>
      </xdr:nvSpPr>
      <xdr:spPr>
        <a:xfrm>
          <a:off x="3971925" y="28575"/>
          <a:ext cx="1905000" cy="476250"/>
        </a:xfrm>
        <a:prstGeom prst="snip2Same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Lançamentos</a:t>
          </a:r>
        </a:p>
      </xdr:txBody>
    </xdr:sp>
    <xdr:clientData/>
  </xdr:twoCellAnchor>
  <xdr:twoCellAnchor>
    <xdr:from>
      <xdr:col>1</xdr:col>
      <xdr:colOff>847725</xdr:colOff>
      <xdr:row>9</xdr:row>
      <xdr:rowOff>66675</xdr:rowOff>
    </xdr:from>
    <xdr:to>
      <xdr:col>5</xdr:col>
      <xdr:colOff>704850</xdr:colOff>
      <xdr:row>13</xdr:row>
      <xdr:rowOff>38100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66D52B85-9AE6-86CB-3E13-45E65E847E8F}"/>
            </a:ext>
          </a:extLst>
        </xdr:cNvPr>
        <xdr:cNvSpPr txBox="1"/>
      </xdr:nvSpPr>
      <xdr:spPr>
        <a:xfrm>
          <a:off x="3562350" y="2095500"/>
          <a:ext cx="4048125" cy="7334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2000" b="1"/>
            <a:t>CONTROLE DE ESTOQUES SIMPLIFICADO</a:t>
          </a:r>
        </a:p>
      </xdr:txBody>
    </xdr:sp>
    <xdr:clientData/>
  </xdr:twoCellAnchor>
  <xdr:twoCellAnchor>
    <xdr:from>
      <xdr:col>0</xdr:col>
      <xdr:colOff>2571750</xdr:colOff>
      <xdr:row>15</xdr:row>
      <xdr:rowOff>0</xdr:rowOff>
    </xdr:from>
    <xdr:to>
      <xdr:col>6</xdr:col>
      <xdr:colOff>866775</xdr:colOff>
      <xdr:row>21</xdr:row>
      <xdr:rowOff>123825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F6C4510D-BDFE-4ABB-54E7-4FD0EAD0EFAD}"/>
            </a:ext>
          </a:extLst>
        </xdr:cNvPr>
        <xdr:cNvSpPr txBox="1"/>
      </xdr:nvSpPr>
      <xdr:spPr>
        <a:xfrm>
          <a:off x="2571750" y="3171825"/>
          <a:ext cx="6248400" cy="12668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/>
            <a:t>ORIENTAÇÕES:</a:t>
          </a:r>
        </a:p>
        <a:p>
          <a:pPr algn="ctr"/>
          <a:endParaRPr lang="pt-BR" sz="1200"/>
        </a:p>
        <a:p>
          <a:pPr algn="ctr"/>
          <a:r>
            <a:rPr lang="pt-BR" sz="1200"/>
            <a:t>1. Cadastrar</a:t>
          </a:r>
          <a:r>
            <a:rPr lang="pt-BR" sz="1200" baseline="0"/>
            <a:t> o produto na aba "Cadastro".</a:t>
          </a:r>
        </a:p>
        <a:p>
          <a:pPr algn="ctr"/>
          <a:r>
            <a:rPr lang="pt-BR" sz="1200" baseline="0"/>
            <a:t>2. Registrar as entradas e saídas na aba "Lançamentos".</a:t>
          </a:r>
        </a:p>
        <a:p>
          <a:pPr algn="ctr"/>
          <a:r>
            <a:rPr lang="pt-BR" sz="1200" baseline="0"/>
            <a:t>3. Relatórios e consultas usar os filtros nas abas "Cadastro" e "Lançamentos".</a:t>
          </a:r>
          <a:endParaRPr lang="pt-BR" sz="1200"/>
        </a:p>
      </xdr:txBody>
    </xdr:sp>
    <xdr:clientData/>
  </xdr:twoCellAnchor>
  <xdr:twoCellAnchor>
    <xdr:from>
      <xdr:col>6</xdr:col>
      <xdr:colOff>6320118</xdr:colOff>
      <xdr:row>0</xdr:row>
      <xdr:rowOff>100853</xdr:rowOff>
    </xdr:from>
    <xdr:to>
      <xdr:col>7</xdr:col>
      <xdr:colOff>0</xdr:colOff>
      <xdr:row>0</xdr:row>
      <xdr:rowOff>392206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8D0ED703-AC58-DA19-4B7F-8C27DB4A82C5}"/>
            </a:ext>
          </a:extLst>
        </xdr:cNvPr>
        <xdr:cNvSpPr txBox="1"/>
      </xdr:nvSpPr>
      <xdr:spPr>
        <a:xfrm>
          <a:off x="14298706" y="100853"/>
          <a:ext cx="3014382" cy="291353"/>
        </a:xfrm>
        <a:prstGeom prst="rect">
          <a:avLst/>
        </a:prstGeom>
        <a:solidFill>
          <a:schemeClr val="bg2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600">
              <a:solidFill>
                <a:schemeClr val="bg1">
                  <a:lumMod val="95000"/>
                </a:schemeClr>
              </a:solidFill>
            </a:rPr>
            <a:t>PORTFÓLIO</a:t>
          </a:r>
          <a:r>
            <a:rPr lang="pt-BR" sz="1600" baseline="0">
              <a:solidFill>
                <a:schemeClr val="bg1">
                  <a:lumMod val="95000"/>
                </a:schemeClr>
              </a:solidFill>
            </a:rPr>
            <a:t> </a:t>
          </a:r>
          <a:r>
            <a:rPr lang="pt-BR" sz="1600">
              <a:solidFill>
                <a:schemeClr val="bg1"/>
              </a:solidFill>
            </a:rPr>
            <a:t>DE GABRIEL MORAES </a:t>
          </a:r>
          <a:r>
            <a:rPr lang="pt-BR" sz="1600"/>
            <a:t>	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114301</xdr:colOff>
      <xdr:row>0</xdr:row>
      <xdr:rowOff>28575</xdr:rowOff>
    </xdr:from>
    <xdr:to>
      <xdr:col>0</xdr:col>
      <xdr:colOff>2019301</xdr:colOff>
      <xdr:row>1</xdr:row>
      <xdr:rowOff>0</xdr:rowOff>
    </xdr:to>
    <xdr:sp macro="" textlink="">
      <xdr:nvSpPr>
        <xdr:cNvPr id="2" name="Retângulo: Cantos Superiores Recort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C2F3F1-51C3-45F9-B347-66EFCBD6B284}"/>
            </a:ext>
          </a:extLst>
        </xdr:cNvPr>
        <xdr:cNvSpPr/>
      </xdr:nvSpPr>
      <xdr:spPr>
        <a:xfrm>
          <a:off x="114301" y="28575"/>
          <a:ext cx="1905000" cy="476250"/>
        </a:xfrm>
        <a:prstGeom prst="snip2Same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Início</a:t>
          </a:r>
        </a:p>
      </xdr:txBody>
    </xdr:sp>
    <xdr:clientData/>
  </xdr:twoCellAnchor>
  <xdr:twoCellAnchor>
    <xdr:from>
      <xdr:col>0</xdr:col>
      <xdr:colOff>2043113</xdr:colOff>
      <xdr:row>0</xdr:row>
      <xdr:rowOff>28575</xdr:rowOff>
    </xdr:from>
    <xdr:to>
      <xdr:col>2</xdr:col>
      <xdr:colOff>185738</xdr:colOff>
      <xdr:row>1</xdr:row>
      <xdr:rowOff>0</xdr:rowOff>
    </xdr:to>
    <xdr:sp macro="" textlink="">
      <xdr:nvSpPr>
        <xdr:cNvPr id="3" name="Retângulo: Cantos Superiores Recort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6B9C93C-27BA-4A12-9851-A140F240F7B1}"/>
            </a:ext>
          </a:extLst>
        </xdr:cNvPr>
        <xdr:cNvSpPr/>
      </xdr:nvSpPr>
      <xdr:spPr>
        <a:xfrm>
          <a:off x="2043113" y="28575"/>
          <a:ext cx="1905000" cy="476250"/>
        </a:xfrm>
        <a:prstGeom prst="snip2Same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Cadastro</a:t>
          </a:r>
        </a:p>
      </xdr:txBody>
    </xdr:sp>
    <xdr:clientData/>
  </xdr:twoCellAnchor>
  <xdr:twoCellAnchor>
    <xdr:from>
      <xdr:col>2</xdr:col>
      <xdr:colOff>209550</xdr:colOff>
      <xdr:row>0</xdr:row>
      <xdr:rowOff>28575</xdr:rowOff>
    </xdr:from>
    <xdr:to>
      <xdr:col>4</xdr:col>
      <xdr:colOff>19050</xdr:colOff>
      <xdr:row>1</xdr:row>
      <xdr:rowOff>0</xdr:rowOff>
    </xdr:to>
    <xdr:sp macro="" textlink="">
      <xdr:nvSpPr>
        <xdr:cNvPr id="4" name="Retângulo: Cantos Superiores Recort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C218C59-D78D-4239-BEA9-2A74E0C1C853}"/>
            </a:ext>
          </a:extLst>
        </xdr:cNvPr>
        <xdr:cNvSpPr/>
      </xdr:nvSpPr>
      <xdr:spPr>
        <a:xfrm>
          <a:off x="3971925" y="28575"/>
          <a:ext cx="1905000" cy="476250"/>
        </a:xfrm>
        <a:prstGeom prst="snip2Same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Lançamentos</a:t>
          </a:r>
        </a:p>
      </xdr:txBody>
    </xdr:sp>
    <xdr:clientData/>
  </xdr:twoCellAnchor>
  <xdr:twoCellAnchor>
    <xdr:from>
      <xdr:col>6</xdr:col>
      <xdr:colOff>6320118</xdr:colOff>
      <xdr:row>0</xdr:row>
      <xdr:rowOff>104775</xdr:rowOff>
    </xdr:from>
    <xdr:to>
      <xdr:col>7</xdr:col>
      <xdr:colOff>0</xdr:colOff>
      <xdr:row>0</xdr:row>
      <xdr:rowOff>396128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D32DF669-66EF-41AA-BB83-D248DA724C60}"/>
            </a:ext>
          </a:extLst>
        </xdr:cNvPr>
        <xdr:cNvSpPr txBox="1"/>
      </xdr:nvSpPr>
      <xdr:spPr>
        <a:xfrm>
          <a:off x="14273493" y="104775"/>
          <a:ext cx="3014382" cy="291353"/>
        </a:xfrm>
        <a:prstGeom prst="rect">
          <a:avLst/>
        </a:prstGeom>
        <a:solidFill>
          <a:schemeClr val="bg2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600">
              <a:solidFill>
                <a:schemeClr val="bg1">
                  <a:lumMod val="95000"/>
                </a:schemeClr>
              </a:solidFill>
            </a:rPr>
            <a:t>PORTFÓLIO</a:t>
          </a:r>
          <a:r>
            <a:rPr lang="pt-BR" sz="1600" baseline="0">
              <a:solidFill>
                <a:schemeClr val="bg1">
                  <a:lumMod val="95000"/>
                </a:schemeClr>
              </a:solidFill>
            </a:rPr>
            <a:t> </a:t>
          </a:r>
          <a:r>
            <a:rPr lang="pt-BR" sz="1600">
              <a:solidFill>
                <a:schemeClr val="bg1"/>
              </a:solidFill>
            </a:rPr>
            <a:t>DE GABRIEL MORAES </a:t>
          </a:r>
          <a:r>
            <a:rPr lang="pt-BR" sz="1600"/>
            <a:t>	</a:t>
          </a:r>
        </a:p>
      </xdr:txBody>
    </xdr:sp>
    <xdr:clientData/>
  </xdr:twoCellAnchor>
  <xdr:twoCellAnchor editAs="absolute">
    <xdr:from>
      <xdr:col>6</xdr:col>
      <xdr:colOff>27215</xdr:colOff>
      <xdr:row>2</xdr:row>
      <xdr:rowOff>247651</xdr:rowOff>
    </xdr:from>
    <xdr:to>
      <xdr:col>7</xdr:col>
      <xdr:colOff>0</xdr:colOff>
      <xdr:row>16</xdr:row>
      <xdr:rowOff>108857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74D9A37-DA13-2D64-7E59-E70081944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68036</xdr:colOff>
      <xdr:row>0</xdr:row>
      <xdr:rowOff>449036</xdr:rowOff>
    </xdr:from>
    <xdr:to>
      <xdr:col>7</xdr:col>
      <xdr:colOff>0</xdr:colOff>
      <xdr:row>2</xdr:row>
      <xdr:rowOff>108857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16D62FD-BEE0-FFCE-9EDF-2313F10829C6}"/>
            </a:ext>
          </a:extLst>
        </xdr:cNvPr>
        <xdr:cNvSpPr txBox="1"/>
      </xdr:nvSpPr>
      <xdr:spPr>
        <a:xfrm>
          <a:off x="8776607" y="449036"/>
          <a:ext cx="3782786" cy="35378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/>
            <a:t>COMPOSIÇÃO</a:t>
          </a:r>
          <a:r>
            <a:rPr lang="pt-BR" sz="1400" b="1" baseline="0"/>
            <a:t> ATUAL DO ESTOQUE</a:t>
          </a:r>
          <a:endParaRPr lang="pt-BR" sz="14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114301</xdr:colOff>
      <xdr:row>0</xdr:row>
      <xdr:rowOff>28575</xdr:rowOff>
    </xdr:from>
    <xdr:to>
      <xdr:col>0</xdr:col>
      <xdr:colOff>2019301</xdr:colOff>
      <xdr:row>1</xdr:row>
      <xdr:rowOff>0</xdr:rowOff>
    </xdr:to>
    <xdr:sp macro="" textlink="">
      <xdr:nvSpPr>
        <xdr:cNvPr id="2" name="Retângulo: Cantos Superiores Recort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47ED09-9A31-4D15-93A7-6101547FC11A}"/>
            </a:ext>
          </a:extLst>
        </xdr:cNvPr>
        <xdr:cNvSpPr/>
      </xdr:nvSpPr>
      <xdr:spPr>
        <a:xfrm>
          <a:off x="114301" y="28575"/>
          <a:ext cx="1905000" cy="476250"/>
        </a:xfrm>
        <a:prstGeom prst="snip2Same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Início</a:t>
          </a:r>
        </a:p>
      </xdr:txBody>
    </xdr:sp>
    <xdr:clientData/>
  </xdr:twoCellAnchor>
  <xdr:twoCellAnchor>
    <xdr:from>
      <xdr:col>0</xdr:col>
      <xdr:colOff>2043113</xdr:colOff>
      <xdr:row>0</xdr:row>
      <xdr:rowOff>28575</xdr:rowOff>
    </xdr:from>
    <xdr:to>
      <xdr:col>2</xdr:col>
      <xdr:colOff>185738</xdr:colOff>
      <xdr:row>1</xdr:row>
      <xdr:rowOff>0</xdr:rowOff>
    </xdr:to>
    <xdr:sp macro="" textlink="">
      <xdr:nvSpPr>
        <xdr:cNvPr id="3" name="Retângulo: Cantos Superiores Recort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4656D0-FAFD-43BC-B24F-2A999997F577}"/>
            </a:ext>
          </a:extLst>
        </xdr:cNvPr>
        <xdr:cNvSpPr/>
      </xdr:nvSpPr>
      <xdr:spPr>
        <a:xfrm>
          <a:off x="2043113" y="28575"/>
          <a:ext cx="1905000" cy="476250"/>
        </a:xfrm>
        <a:prstGeom prst="snip2Same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Cadastro</a:t>
          </a:r>
        </a:p>
      </xdr:txBody>
    </xdr:sp>
    <xdr:clientData/>
  </xdr:twoCellAnchor>
  <xdr:twoCellAnchor>
    <xdr:from>
      <xdr:col>2</xdr:col>
      <xdr:colOff>209550</xdr:colOff>
      <xdr:row>0</xdr:row>
      <xdr:rowOff>28575</xdr:rowOff>
    </xdr:from>
    <xdr:to>
      <xdr:col>4</xdr:col>
      <xdr:colOff>19050</xdr:colOff>
      <xdr:row>1</xdr:row>
      <xdr:rowOff>0</xdr:rowOff>
    </xdr:to>
    <xdr:sp macro="" textlink="">
      <xdr:nvSpPr>
        <xdr:cNvPr id="4" name="Retângulo: Cantos Superiores Recortados 3">
          <a:extLst>
            <a:ext uri="{FF2B5EF4-FFF2-40B4-BE49-F238E27FC236}">
              <a16:creationId xmlns:a16="http://schemas.microsoft.com/office/drawing/2014/main" id="{FD063A74-8066-4A8F-B064-CC31E1863DBB}"/>
            </a:ext>
          </a:extLst>
        </xdr:cNvPr>
        <xdr:cNvSpPr/>
      </xdr:nvSpPr>
      <xdr:spPr>
        <a:xfrm>
          <a:off x="3971925" y="28575"/>
          <a:ext cx="1905000" cy="476250"/>
        </a:xfrm>
        <a:prstGeom prst="snip2Same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Lançamentos</a:t>
          </a:r>
        </a:p>
      </xdr:txBody>
    </xdr:sp>
    <xdr:clientData/>
  </xdr:twoCellAnchor>
  <xdr:twoCellAnchor>
    <xdr:from>
      <xdr:col>6</xdr:col>
      <xdr:colOff>6320118</xdr:colOff>
      <xdr:row>0</xdr:row>
      <xdr:rowOff>104775</xdr:rowOff>
    </xdr:from>
    <xdr:to>
      <xdr:col>7</xdr:col>
      <xdr:colOff>0</xdr:colOff>
      <xdr:row>0</xdr:row>
      <xdr:rowOff>396128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E8B3F2F3-EB91-4573-A7B3-11425DB53257}"/>
            </a:ext>
          </a:extLst>
        </xdr:cNvPr>
        <xdr:cNvSpPr txBox="1"/>
      </xdr:nvSpPr>
      <xdr:spPr>
        <a:xfrm>
          <a:off x="14273493" y="104775"/>
          <a:ext cx="3014382" cy="291353"/>
        </a:xfrm>
        <a:prstGeom prst="rect">
          <a:avLst/>
        </a:prstGeom>
        <a:solidFill>
          <a:schemeClr val="bg2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600">
              <a:solidFill>
                <a:schemeClr val="bg1">
                  <a:lumMod val="95000"/>
                </a:schemeClr>
              </a:solidFill>
            </a:rPr>
            <a:t>PORTFÓLIO</a:t>
          </a:r>
          <a:r>
            <a:rPr lang="pt-BR" sz="1600" baseline="0">
              <a:solidFill>
                <a:schemeClr val="bg1">
                  <a:lumMod val="95000"/>
                </a:schemeClr>
              </a:solidFill>
            </a:rPr>
            <a:t> </a:t>
          </a:r>
          <a:r>
            <a:rPr lang="pt-BR" sz="1600">
              <a:solidFill>
                <a:schemeClr val="bg1"/>
              </a:solidFill>
            </a:rPr>
            <a:t>DE GABRIEL MORAES </a:t>
          </a:r>
          <a:r>
            <a:rPr lang="pt-BR" sz="1600"/>
            <a:t>	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7EA297-5E80-461C-9E56-2886C473D655}" name="TbCadastro" displayName="TbCadastro" ref="A3:F6" totalsRowShown="0" headerRowDxfId="6">
  <autoFilter ref="A3:F6" xr:uid="{277EA297-5E80-461C-9E56-2886C473D655}">
    <filterColumn colId="0">
      <filters>
        <filter val="Caneta esferográfica azul"/>
        <filter val="Caneta esferográfica preta"/>
      </filters>
    </filterColumn>
  </autoFilter>
  <tableColumns count="6">
    <tableColumn id="1" xr3:uid="{6F11A673-94E3-4986-BE58-938E1FC4C418}" name="PRODUTO"/>
    <tableColumn id="2" xr3:uid="{EFC7D342-9672-4E01-BE17-21D8AB956818}" name="MEDIDA"/>
    <tableColumn id="3" xr3:uid="{1FD9FA0F-0280-4C15-802A-9BFECEBCA8FC}" name="ESTOQUE_x000a_MÍNIMO" dataDxfId="5"/>
    <tableColumn id="4" xr3:uid="{D5A607E8-CB0E-4699-AEBA-A317A5C9FF84}" name="ESTOQUE MÁXIMO" dataDxfId="4"/>
    <tableColumn id="5" xr3:uid="{F55A0E77-24E5-44DB-BF56-09AE68B1DE3F}" name="SALDO" dataDxfId="3">
      <calculatedColumnFormula>SUMIF(TbLançamentos[PRODUTO],TbCadastro[[#This Row],[PRODUTO]],TbLançamentos[ENTRADA])-SUMIF(TbLançamentos[PRODUTO],TbCadastro[[#This Row],[PRODUTO]],TbLançamentos[SAÍDA])</calculatedColumnFormula>
    </tableColumn>
    <tableColumn id="6" xr3:uid="{765311B1-FB8D-47AB-8D3B-3AC9053D3C14}" name="AVISOS" dataDxfId="2">
      <calculatedColumnFormula>IF(TbCadastro[[#This Row],[SALDO]]&lt;TbCadastro[[#This Row],[ESTOQUE
MÍNIMO]],"Solicitar nova compra",IF(TbCadastro[[#This Row],[SALDO]]&gt;TbCadastro[[#This Row],[ESTOQUE MÁXIMO]],"Priorizar venda",""))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D95730-71E4-4749-8D47-6D8DE34B6205}" name="TbLançamentos" displayName="TbLançamentos" ref="A3:E10" totalsRowCount="1">
  <autoFilter ref="A3:E9" xr:uid="{B9D95730-71E4-4749-8D47-6D8DE34B6205}"/>
  <tableColumns count="5">
    <tableColumn id="1" xr3:uid="{F49AD079-BF99-43D2-924C-07013C3837AB}" name="PRODUTO" totalsRowLabel="Total"/>
    <tableColumn id="2" xr3:uid="{6DDE957D-9CB0-4B52-9EB6-51E6751B953C}" name="DATA" totalsRowFunction="count" dataDxfId="16"/>
    <tableColumn id="3" xr3:uid="{6A2E7D17-92FB-46F0-8DB1-67737113D1C8}" name="ENTRADA" totalsRowFunction="sum" dataDxfId="15" totalsRowDxfId="14"/>
    <tableColumn id="4" xr3:uid="{EDD95DA6-8D76-4A8B-B27E-0A128E4D4465}" name="SAÍDA" totalsRowFunction="sum" dataDxfId="13" totalsRowDxfId="12"/>
    <tableColumn id="5" xr3:uid="{9E2D47BD-7927-4543-AB5C-14ED8FD9F859}" name="SALDO" totalsRowFunction="count" dataDxfId="11" totalsRowDxfId="10">
      <calculatedColumnFormula>SUMIFS(TbLançamentos[ENTRADA],TbLançamentos[PRODUTO],TbLançamentos[[#This Row],[PRODUTO]],TbLançamentos[DATA],"&lt;="&amp;TbLançamentos[[#This Row],[DATA]])-SUMIFS(TbLançamentos[SAÍDA],TbLançamentos[PRODUTO],TbLançamentos[PRODUTO],TbLançamentos[DATA],"&lt;="&amp;TbLançamentos[[#This Row],[DATA]])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A194E-B727-4AFA-A926-9A0478ECA15D}">
  <dimension ref="A1:G49"/>
  <sheetViews>
    <sheetView showGridLines="0" tabSelected="1" zoomScale="85" zoomScaleNormal="85" workbookViewId="0">
      <selection activeCell="C36" sqref="C36"/>
    </sheetView>
  </sheetViews>
  <sheetFormatPr defaultColWidth="0" defaultRowHeight="15" x14ac:dyDescent="0.25"/>
  <cols>
    <col min="1" max="1" width="40.7109375" customWidth="1"/>
    <col min="2" max="6" width="15.7109375" customWidth="1"/>
    <col min="7" max="7" width="57.7109375" customWidth="1"/>
    <col min="8" max="16384" width="9.140625" hidden="1"/>
  </cols>
  <sheetData>
    <row r="1" spans="1:7" ht="39.950000000000003" customHeight="1" x14ac:dyDescent="0.25">
      <c r="A1" s="1"/>
      <c r="B1" s="1"/>
      <c r="C1" s="1"/>
      <c r="D1" s="1"/>
      <c r="E1" s="1"/>
      <c r="F1" s="1"/>
      <c r="G1" s="1"/>
    </row>
    <row r="8" spans="1:7" x14ac:dyDescent="0.25">
      <c r="D8" s="2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9748B-D4E9-4F3D-A76D-DD8C6059312F}">
  <dimension ref="A1:G6"/>
  <sheetViews>
    <sheetView showGridLines="0" zoomScale="70" zoomScaleNormal="70" workbookViewId="0">
      <selection activeCell="F5" sqref="F5"/>
    </sheetView>
  </sheetViews>
  <sheetFormatPr defaultColWidth="0" defaultRowHeight="15" x14ac:dyDescent="0.25"/>
  <cols>
    <col min="1" max="1" width="40.7109375" customWidth="1"/>
    <col min="2" max="2" width="15.7109375" customWidth="1"/>
    <col min="3" max="3" width="15.7109375" style="10" customWidth="1"/>
    <col min="4" max="4" width="20" style="10" customWidth="1"/>
    <col min="5" max="5" width="15.7109375" style="10" customWidth="1"/>
    <col min="6" max="6" width="22.7109375" customWidth="1"/>
    <col min="7" max="7" width="57.7109375" customWidth="1"/>
    <col min="8" max="16384" width="9.140625" hidden="1"/>
  </cols>
  <sheetData>
    <row r="1" spans="1:7" ht="39.950000000000003" customHeight="1" x14ac:dyDescent="0.25">
      <c r="A1" s="1"/>
      <c r="B1" s="1"/>
      <c r="C1" s="9"/>
      <c r="D1" s="9"/>
      <c r="E1" s="9"/>
      <c r="F1" s="1"/>
      <c r="G1" s="1"/>
    </row>
    <row r="3" spans="1:7" ht="30" x14ac:dyDescent="0.25">
      <c r="A3" s="3" t="s">
        <v>0</v>
      </c>
      <c r="B3" s="3" t="s">
        <v>1</v>
      </c>
      <c r="C3" s="13" t="s">
        <v>2</v>
      </c>
      <c r="D3" s="13" t="s">
        <v>3</v>
      </c>
      <c r="E3" s="14" t="s">
        <v>4</v>
      </c>
      <c r="F3" s="3" t="s">
        <v>5</v>
      </c>
    </row>
    <row r="4" spans="1:7" x14ac:dyDescent="0.25">
      <c r="A4" t="s">
        <v>6</v>
      </c>
      <c r="B4" t="s">
        <v>12</v>
      </c>
      <c r="C4" s="10">
        <v>15</v>
      </c>
      <c r="D4" s="10">
        <v>150</v>
      </c>
      <c r="E4" s="17">
        <f>SUMIF(TbLançamentos[PRODUTO],TbCadastro[[#This Row],[PRODUTO]],TbLançamentos[ENTRADA])-SUMIF(TbLançamentos[PRODUTO],TbCadastro[[#This Row],[PRODUTO]],TbLançamentos[SAÍDA])</f>
        <v>10</v>
      </c>
      <c r="F4" s="6" t="str">
        <f>IF(TbCadastro[[#This Row],[SALDO]]&lt;TbCadastro[[#This Row],[ESTOQUE
MÍNIMO]],"Solicitar nova compra",IF(TbCadastro[[#This Row],[SALDO]]&gt;TbCadastro[[#This Row],[ESTOQUE MÁXIMO]],"Priorizar venda",""))</f>
        <v>Solicitar nova compra</v>
      </c>
    </row>
    <row r="5" spans="1:7" x14ac:dyDescent="0.25">
      <c r="A5" t="s">
        <v>7</v>
      </c>
      <c r="B5" t="s">
        <v>12</v>
      </c>
      <c r="C5" s="10">
        <v>15</v>
      </c>
      <c r="D5" s="10">
        <v>30</v>
      </c>
      <c r="E5" s="17">
        <f>SUMIF(TbLançamentos[PRODUTO],TbCadastro[[#This Row],[PRODUTO]],TbLançamentos[ENTRADA])-SUMIF(TbLançamentos[PRODUTO],TbCadastro[[#This Row],[PRODUTO]],TbLançamentos[SAÍDA])</f>
        <v>38</v>
      </c>
      <c r="F5" s="6" t="str">
        <f>IF(TbCadastro[[#This Row],[SALDO]]&lt;TbCadastro[[#This Row],[ESTOQUE
MÍNIMO]],"Solicitar nova compra",IF(TbCadastro[[#This Row],[SALDO]]&gt;TbCadastro[[#This Row],[ESTOQUE MÁXIMO]],"Priorizar venda",""))</f>
        <v>Priorizar venda</v>
      </c>
    </row>
    <row r="6" spans="1:7" hidden="1" x14ac:dyDescent="0.25">
      <c r="A6" t="s">
        <v>13</v>
      </c>
      <c r="B6" t="s">
        <v>12</v>
      </c>
      <c r="C6" s="10">
        <v>15</v>
      </c>
      <c r="D6" s="10">
        <v>150</v>
      </c>
      <c r="E6" s="17">
        <f>SUMIF(TbLançamentos[PRODUTO],TbCadastro[[#This Row],[PRODUTO]],TbLançamentos[ENTRADA])-SUMIF(TbLançamentos[PRODUTO],TbCadastro[[#This Row],[PRODUTO]],TbLançamentos[SAÍDA])</f>
        <v>165</v>
      </c>
      <c r="F6" s="6" t="str">
        <f>IF(TbCadastro[[#This Row],[SALDO]]&lt;TbCadastro[[#This Row],[ESTOQUE
MÍNIMO]],"Solicitar nova compra",IF(TbCadastro[[#This Row],[SALDO]]&gt;TbCadastro[[#This Row],[ESTOQUE MÁXIMO]],"Priorizar venda",""))</f>
        <v>Priorizar venda</v>
      </c>
    </row>
  </sheetData>
  <conditionalFormatting sqref="F4:F6">
    <cfRule type="cellIs" dxfId="1" priority="1" operator="equal">
      <formula>"Priorizar venda"</formula>
    </cfRule>
    <cfRule type="cellIs" dxfId="0" priority="2" operator="equal">
      <formula>"Solicitar nova compra"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262A8-92BB-4307-9987-776FC3A2688C}">
  <dimension ref="A1:G10"/>
  <sheetViews>
    <sheetView showGridLines="0" workbookViewId="0">
      <selection activeCell="G1" sqref="G1"/>
    </sheetView>
  </sheetViews>
  <sheetFormatPr defaultColWidth="0" defaultRowHeight="15" x14ac:dyDescent="0.25"/>
  <cols>
    <col min="1" max="1" width="40.7109375" customWidth="1"/>
    <col min="2" max="2" width="15.7109375" style="4" customWidth="1"/>
    <col min="3" max="5" width="15.7109375" style="10" customWidth="1"/>
    <col min="6" max="6" width="22.7109375" customWidth="1"/>
    <col min="7" max="7" width="57.7109375" customWidth="1"/>
    <col min="8" max="16384" width="9.140625" hidden="1"/>
  </cols>
  <sheetData>
    <row r="1" spans="1:7" ht="39.950000000000003" customHeight="1" x14ac:dyDescent="0.25">
      <c r="A1" s="1"/>
      <c r="B1" s="7"/>
      <c r="C1" s="9"/>
      <c r="D1" s="9"/>
      <c r="E1" s="9"/>
      <c r="F1" s="1"/>
      <c r="G1" s="1"/>
    </row>
    <row r="3" spans="1:7" x14ac:dyDescent="0.25">
      <c r="A3" s="6" t="s">
        <v>0</v>
      </c>
      <c r="B3" s="8" t="s">
        <v>8</v>
      </c>
      <c r="C3" s="16" t="s">
        <v>9</v>
      </c>
      <c r="D3" s="15" t="s">
        <v>10</v>
      </c>
      <c r="E3" s="11" t="s">
        <v>4</v>
      </c>
    </row>
    <row r="4" spans="1:7" x14ac:dyDescent="0.25">
      <c r="A4" t="s">
        <v>7</v>
      </c>
      <c r="B4" s="4">
        <v>43698</v>
      </c>
      <c r="C4" s="10">
        <v>30</v>
      </c>
      <c r="D4" s="10">
        <v>5</v>
      </c>
      <c r="E4" s="12">
        <f>SUMIFS(TbLançamentos[ENTRADA],TbLançamentos[PRODUTO],TbLançamentos[[#This Row],[PRODUTO]],TbLançamentos[DATA],"&lt;="&amp;TbLançamentos[[#This Row],[DATA]])-SUMIFS(TbLançamentos[SAÍDA],TbLançamentos[PRODUTO],TbLançamentos[PRODUTO],TbLançamentos[DATA],"&lt;="&amp;TbLançamentos[[#This Row],[DATA]])</f>
        <v>25</v>
      </c>
    </row>
    <row r="5" spans="1:7" x14ac:dyDescent="0.25">
      <c r="A5" t="s">
        <v>6</v>
      </c>
      <c r="B5" s="4">
        <v>43699</v>
      </c>
      <c r="C5" s="10">
        <v>20</v>
      </c>
      <c r="D5" s="10">
        <v>10</v>
      </c>
      <c r="E5" s="12">
        <f>SUMIFS(TbLançamentos[ENTRADA],TbLançamentos[PRODUTO],TbLançamentos[[#This Row],[PRODUTO]],TbLançamentos[DATA],"&lt;="&amp;TbLançamentos[[#This Row],[DATA]])-SUMIFS(TbLançamentos[SAÍDA],TbLançamentos[PRODUTO],TbLançamentos[PRODUTO],TbLançamentos[DATA],"&lt;="&amp;TbLançamentos[[#This Row],[DATA]])</f>
        <v>10</v>
      </c>
    </row>
    <row r="6" spans="1:7" x14ac:dyDescent="0.25">
      <c r="A6" t="s">
        <v>7</v>
      </c>
      <c r="B6" s="4">
        <v>43700</v>
      </c>
      <c r="C6" s="10">
        <v>10</v>
      </c>
      <c r="E6" s="12">
        <f>SUMIFS(TbLançamentos[ENTRADA],TbLançamentos[PRODUTO],TbLançamentos[[#This Row],[PRODUTO]],TbLançamentos[DATA],"&lt;="&amp;TbLançamentos[[#This Row],[DATA]])-SUMIFS(TbLançamentos[SAÍDA],TbLançamentos[PRODUTO],TbLançamentos[PRODUTO],TbLançamentos[DATA],"&lt;="&amp;TbLançamentos[[#This Row],[DATA]])</f>
        <v>35</v>
      </c>
    </row>
    <row r="7" spans="1:7" x14ac:dyDescent="0.25">
      <c r="A7" t="s">
        <v>13</v>
      </c>
      <c r="B7" s="4">
        <v>43700</v>
      </c>
      <c r="C7" s="10">
        <v>10</v>
      </c>
      <c r="D7" s="10">
        <v>15</v>
      </c>
      <c r="E7" s="12">
        <f>SUMIFS(TbLançamentos[ENTRADA],TbLançamentos[PRODUTO],TbLançamentos[[#This Row],[PRODUTO]],TbLançamentos[DATA],"&lt;="&amp;TbLançamentos[[#This Row],[DATA]])-SUMIFS(TbLançamentos[SAÍDA],TbLançamentos[PRODUTO],TbLançamentos[PRODUTO],TbLançamentos[DATA],"&lt;="&amp;TbLançamentos[[#This Row],[DATA]])</f>
        <v>-5</v>
      </c>
    </row>
    <row r="8" spans="1:7" x14ac:dyDescent="0.25">
      <c r="A8" t="s">
        <v>7</v>
      </c>
      <c r="B8" s="4">
        <v>43702</v>
      </c>
      <c r="C8" s="10">
        <v>3</v>
      </c>
      <c r="E8" s="12">
        <f>SUMIFS(TbLançamentos[ENTRADA],TbLançamentos[PRODUTO],TbLançamentos[[#This Row],[PRODUTO]],TbLançamentos[DATA],"&lt;="&amp;TbLançamentos[[#This Row],[DATA]])-SUMIFS(TbLançamentos[SAÍDA],TbLançamentos[PRODUTO],TbLançamentos[PRODUTO],TbLançamentos[DATA],"&lt;="&amp;TbLançamentos[[#This Row],[DATA]])</f>
        <v>38</v>
      </c>
    </row>
    <row r="9" spans="1:7" x14ac:dyDescent="0.25">
      <c r="A9" t="s">
        <v>13</v>
      </c>
      <c r="B9" s="4">
        <v>43703</v>
      </c>
      <c r="C9" s="10">
        <v>170</v>
      </c>
      <c r="E9" s="12">
        <f>SUMIFS(TbLançamentos[ENTRADA],TbLançamentos[PRODUTO],TbLançamentos[[#This Row],[PRODUTO]],TbLançamentos[DATA],"&lt;="&amp;TbLançamentos[[#This Row],[DATA]])-SUMIFS(TbLançamentos[SAÍDA],TbLançamentos[PRODUTO],TbLançamentos[PRODUTO],TbLançamentos[DATA],"&lt;="&amp;TbLançamentos[[#This Row],[DATA]])</f>
        <v>165</v>
      </c>
    </row>
    <row r="10" spans="1:7" x14ac:dyDescent="0.25">
      <c r="A10" t="s">
        <v>11</v>
      </c>
      <c r="B10">
        <f>SUBTOTAL(103,TbLançamentos[DATA])</f>
        <v>6</v>
      </c>
      <c r="C10" s="10">
        <f>SUBTOTAL(109,TbLançamentos[ENTRADA])</f>
        <v>243</v>
      </c>
      <c r="D10" s="10">
        <f>SUBTOTAL(109,TbLançamentos[SAÍDA])</f>
        <v>30</v>
      </c>
      <c r="E10" s="5">
        <f>SUBTOTAL(103,TbLançamentos[SALDO])</f>
        <v>6</v>
      </c>
    </row>
  </sheetData>
  <conditionalFormatting sqref="E4:E9">
    <cfRule type="cellIs" dxfId="7" priority="1" operator="lessThan">
      <formula>0</formula>
    </cfRule>
  </conditionalFormatting>
  <dataValidations count="1">
    <dataValidation type="list" allowBlank="1" showInputMessage="1" showErrorMessage="1" sqref="A4:A9" xr:uid="{E7F8E38F-5E4C-4AEA-9CBC-27FAA7E8A824}">
      <formula1>ColunaProdutos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Início</vt:lpstr>
      <vt:lpstr>Cadastro</vt:lpstr>
      <vt:lpstr>Lançamento</vt:lpstr>
      <vt:lpstr>ColunaProdutos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Moraes</dc:creator>
  <cp:lastModifiedBy>Gabriel Moraes</cp:lastModifiedBy>
  <dcterms:created xsi:type="dcterms:W3CDTF">2026-04-01T22:12:33Z</dcterms:created>
  <dcterms:modified xsi:type="dcterms:W3CDTF">2026-04-14T21:12:37Z</dcterms:modified>
</cp:coreProperties>
</file>